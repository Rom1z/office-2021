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Рабочий листок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<sst xmlns="http://schemas.openxmlformats.org/spreadsheetml/2006/main" count="30" uniqueCount="28">
  <si>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Руководитель:</t>
  </si>
  <si>
    <t>Телефон сотрудника:</t>
  </si>
  <si>
    <t>Конец недели:</t>
  </si>
  <si>
    <t>День</t>
  </si>
  <si>
    <t>Рабочие часы</t>
  </si>
  <si>
    <t>Больничный</t>
  </si>
  <si>
    <t>Отпуск</t>
  </si>
  <si>
    <t>Итого</t>
  </si>
  <si>
    <t>Суббота</t>
  </si>
  <si>
    <t>Воскресенье</t>
  </si>
  <si>
    <t>Понедельник</t>
  </si>
  <si>
    <t>Вторник</t>
  </si>
  <si>
    <t>Среда</t>
  </si>
  <si>
    <t>Четверг</t>
  </si>
  <si>
    <t>Пятница</t>
  </si>
  <si>
    <t>Общее число часов</t>
  </si>
  <si>
    <t>Общая сумма</t>
  </si>
  <si>
    <t>Почасовая ставка</t>
  </si>
  <si>
    <t>Дата</t>
  </si>
  <si>
    <t>Адрес электронной почты сотрудника:</t>
  </si>
  <si>
    <t>Подпись сотрудника</t>
  </si>
  <si>
    <t>Подпись руководителя</t>
  </si>
  <si>
    <t>[Почтовый адрес]</t>
  </si>
  <si>
    <t>[Адрес 2]</t>
  </si>
  <si>
    <t>[Город, Область, Индекс]</t>
  </si>
  <si>
    <t xml:space="preserve">Сверхурочные </t>
  </si>
  <si>
    <t>Сотрудник</t>
  </si>
  <si>
    <t>Рабочий листок</t>
  </si>
</sst>
</file>

<file path=xl/styles.xml><?xml version="1.0" encoding="utf-8"?>
<styleSheet xmlns="http://schemas.openxmlformats.org/spreadsheetml/2006/main">
  <numFmts count="1">
    <numFmt numFmtId="44" formatCode="_-* #,##0.00\ &quot;р.&quot;_-;_-* \-#,##0.00\ &quot;р.&quot;;_-* &quot;-&quot;??\ &quot;р.&quot;_-;_-@_-"/>
  </numFmts>
  <fonts count="15">
    <font>
      <sz val="10"/>
      <color theme="1"/>
      <name val="Verdana"/>
      <family val="2"/>
      <scheme val="minor"/>
    </font>
    <font>
      <sz val="10"/>
      <color theme="1"/>
      <name val="Arial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 val="1"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 val="1"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Аспект">
  <a:themeElements>
    <a:clrScheme name="Валюта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Аспект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Аспект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2"/>
      <c r="D7" s="62"/>
      <c r="E7" s="2"/>
      <c r="F7" s="1" t="s">
        <v>0</v>
      </c>
      <c r="G7" s="63"/>
      <c r="H7" s="64"/>
    </row>
    <row r="8" spans="2:9" customFormat="1"/>
    <row r="9" spans="2:9" s="29" customFormat="1">
      <c r="B9" s="3" t="s">
        <v>22</v>
      </c>
      <c r="C9" s="63"/>
      <c r="D9" s="63"/>
      <c r="E9" s="2"/>
      <c r="F9" s="4" t="s">
        <v>1</v>
      </c>
      <c r="G9" s="62"/>
      <c r="H9" s="62"/>
      <c r="I9" s="6"/>
    </row>
    <row r="10" spans="2:9" customFormat="1"/>
    <row r="11" spans="2:9" s="29" customFormat="1">
      <c r="B11" s="3" t="s">
        <v>23</v>
      </c>
      <c r="C11" s="63"/>
      <c r="D11" s="63"/>
      <c r="E11" s="5"/>
      <c r="F11" s="4" t="s">
        <v>19</v>
      </c>
      <c r="G11" s="62"/>
      <c r="H11" s="62"/>
      <c r="I11" s="6"/>
    </row>
    <row r="12" spans="2:9" customFormat="1"/>
    <row r="13" spans="2:9" s="29" customFormat="1">
      <c r="B13" s="3" t="s">
        <v>24</v>
      </c>
      <c r="C13" s="63"/>
      <c r="D13" s="63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5">
        <v>39082</v>
      </c>
      <c r="D16" s="65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</c>
      <c r="D21" s="48"/>
      <c r="E21" s="48"/>
      <c r="F21" s="48"/>
      <c r="G21" s="49"/>
      <c r="H21" s="48">
        <f t="shared" ref="H21:H27" si="0">IF(SUM(D21:G21)&gt;24,"Итого &gt; 24 часов",SUM(D21:G21))</f>
      </c>
    </row>
    <row r="22" spans="2:9" ht="23.25" customHeight="1">
      <c r="B22" s="50" t="s">
        <v>11</v>
      </c>
      <c r="C22" s="51">
        <f>IF($C$16=0,"",$C$16-5)</f>
      </c>
      <c r="D22" s="52"/>
      <c r="E22" s="53"/>
      <c r="F22" s="53"/>
      <c r="G22" s="54"/>
      <c r="H22" s="53">
        <f t="shared" si="0"/>
      </c>
    </row>
    <row r="23" spans="2:9" ht="23.25" customHeight="1">
      <c r="B23" s="46" t="s">
        <v>12</v>
      </c>
      <c r="C23" s="47">
        <f>IF($C$16=0,"",$C$16-4)</f>
      </c>
      <c r="D23" s="48"/>
      <c r="E23" s="48"/>
      <c r="F23" s="48"/>
      <c r="G23" s="49"/>
      <c r="H23" s="48">
        <f t="shared" si="0"/>
      </c>
    </row>
    <row r="24" spans="2:9" ht="23.25" customHeight="1">
      <c r="B24" s="55" t="s">
        <v>13</v>
      </c>
      <c r="C24" s="56">
        <f>IF($C$16=0,"",$C$16-3)</f>
      </c>
      <c r="D24" s="53"/>
      <c r="E24" s="53"/>
      <c r="F24" s="53"/>
      <c r="G24" s="57"/>
      <c r="H24" s="53">
        <f t="shared" si="0"/>
      </c>
    </row>
    <row r="25" spans="2:9" ht="23.25" customHeight="1">
      <c r="B25" s="46" t="s">
        <v>14</v>
      </c>
      <c r="C25" s="47">
        <f>IF($C$16=0,"",$C$16-2)</f>
      </c>
      <c r="D25" s="48"/>
      <c r="E25" s="48"/>
      <c r="F25" s="48"/>
      <c r="G25" s="49"/>
      <c r="H25" s="48">
        <f t="shared" si="0"/>
      </c>
    </row>
    <row r="26" spans="2:9" ht="23.25" customHeight="1">
      <c r="B26" s="55" t="s">
        <v>8</v>
      </c>
      <c r="C26" s="56">
        <f>IF($C$16=0,"",$C$16-1)</f>
      </c>
      <c r="D26" s="53"/>
      <c r="E26" s="53"/>
      <c r="F26" s="53"/>
      <c r="G26" s="57"/>
      <c r="H26" s="53">
        <f t="shared" si="0"/>
      </c>
    </row>
    <row r="27" spans="2:9" ht="23.25" customHeight="1">
      <c r="B27" s="58" t="s">
        <v>9</v>
      </c>
      <c r="C27" s="59">
        <f>IF($C$16=0,"",$C$16)</f>
      </c>
      <c r="D27" s="60"/>
      <c r="E27" s="48"/>
      <c r="F27" s="48"/>
      <c r="G27" s="61"/>
      <c r="H27" s="48">
        <f t="shared" si="0"/>
      </c>
    </row>
    <row r="28" spans="2:9" ht="23.25" customHeight="1">
      <c r="B28" s="41" t="s">
        <v>15</v>
      </c>
      <c r="C28" s="38"/>
      <c r="D28" s="33">
        <f>SUM(D21:D27)</f>
      </c>
      <c r="E28" s="33">
        <f>SUM(E21:E27)</f>
      </c>
      <c r="F28" s="33">
        <f>SUM(F21:F27)</f>
      </c>
      <c r="G28" s="34">
        <f>SUM(G21:G27)</f>
      </c>
      <c r="H28" s="33">
        <f>SUM(H21:H27)</f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</c>
      <c r="E30" s="36">
        <f>E28*E29</f>
      </c>
      <c r="F30" s="36">
        <f>F28*F29</f>
      </c>
      <c r="G30" s="37">
        <f>G28*G29</f>
      </c>
      <c r="H30" s="36">
        <f>SUM(D30:G30)</f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3"/>
      <c r="E35" s="63"/>
      <c r="F35" s="63"/>
      <c r="G35" s="63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6"/>
      <c r="E37" s="66"/>
      <c r="F37" s="66"/>
      <c r="G37" s="66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13:D13"/>
    <mergeCell ref="C16:D16"/>
    <mergeCell ref="D35:G35"/>
    <mergeCell ref="D37:G37"/>
    <mergeCell ref="G11:H11"/>
    <mergeCell ref="C7:D7"/>
    <mergeCell ref="C9:D9"/>
    <mergeCell ref="C11:D11"/>
    <mergeCell ref="G7:H7"/>
    <mergeCell ref="G9:H9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Рабочий листок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2006-09-15T19:01:29Z</dcterms:created>
  <dcterms:modified xsi:type="dcterms:W3CDTF">2006-09-15T19:02:32Z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